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FEC83F75-5BC0-4238-8E70-5283836F1227}" xr6:coauthVersionLast="47" xr6:coauthVersionMax="47" xr10:uidLastSave="{00000000-0000-0000-0000-000000000000}"/>
  <bookViews>
    <workbookView xWindow="-110" yWindow="-110" windowWidth="19420" windowHeight="11500" xr2:uid="{A385262C-B6C8-4AA5-A445-7DCD5233C540}"/>
  </bookViews>
  <sheets>
    <sheet name="Foglio1 (2)" sheetId="2" r:id="rId1"/>
  </sheets>
  <definedNames>
    <definedName name="_xlnm._FilterDatabase" localSheetId="0" hidden="1">'Foglio1 (2)'!$A$1:$G$122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M4" i="2"/>
  <c r="K3" i="2"/>
  <c r="K14" i="2"/>
  <c r="K13" i="2"/>
  <c r="K9" i="2"/>
  <c r="K8" i="2"/>
  <c r="K4" i="2"/>
  <c r="M6" i="2" l="1"/>
</calcChain>
</file>

<file path=xl/sharedStrings.xml><?xml version="1.0" encoding="utf-8"?>
<sst xmlns="http://schemas.openxmlformats.org/spreadsheetml/2006/main" count="627" uniqueCount="106">
  <si>
    <t>Data</t>
  </si>
  <si>
    <t>Operazione</t>
  </si>
  <si>
    <t>Conto</t>
  </si>
  <si>
    <t>Pagato da</t>
  </si>
  <si>
    <t>Beneficiario</t>
  </si>
  <si>
    <t>Categoria</t>
  </si>
  <si>
    <t>Importo</t>
  </si>
  <si>
    <t>Caddy</t>
  </si>
  <si>
    <t>Giulia</t>
  </si>
  <si>
    <t>Salute</t>
  </si>
  <si>
    <t>Fideuram condiviso</t>
  </si>
  <si>
    <t>Famiglia</t>
  </si>
  <si>
    <t>Giroconto (Entrata)</t>
  </si>
  <si>
    <t>Smalti e integratore</t>
  </si>
  <si>
    <t>Plastilina</t>
  </si>
  <si>
    <t>Fabio</t>
  </si>
  <si>
    <t>Ludovica</t>
  </si>
  <si>
    <t>Regali</t>
  </si>
  <si>
    <t>Gpl</t>
  </si>
  <si>
    <t>Trasporti</t>
  </si>
  <si>
    <t>Bimby_abbonamento</t>
  </si>
  <si>
    <t>Casa</t>
  </si>
  <si>
    <t>Happy casa</t>
  </si>
  <si>
    <t>Assegno Unico / Bonus</t>
  </si>
  <si>
    <t>Dante</t>
  </si>
  <si>
    <t>Bonus/Regali</t>
  </si>
  <si>
    <t>Spesa</t>
  </si>
  <si>
    <t>Alimentari</t>
  </si>
  <si>
    <t>Farmacia</t>
  </si>
  <si>
    <t>Sushi</t>
  </si>
  <si>
    <t>Ristorante</t>
  </si>
  <si>
    <t>Profumo Fabio</t>
  </si>
  <si>
    <t>Psicologa</t>
  </si>
  <si>
    <t>Netflix</t>
  </si>
  <si>
    <t>Svago</t>
  </si>
  <si>
    <t>Action</t>
  </si>
  <si>
    <t>Friggitrice</t>
  </si>
  <si>
    <t>Microsoft</t>
  </si>
  <si>
    <t>Paola</t>
  </si>
  <si>
    <t>Gelato</t>
  </si>
  <si>
    <t>Buoni pasto Fabio</t>
  </si>
  <si>
    <t>Latte fede</t>
  </si>
  <si>
    <t>Federico</t>
  </si>
  <si>
    <t>Spotify</t>
  </si>
  <si>
    <t>Scarpe e ciabatte</t>
  </si>
  <si>
    <t>Abbigliamento</t>
  </si>
  <si>
    <t>Poke</t>
  </si>
  <si>
    <t>Vestiti Ludo</t>
  </si>
  <si>
    <t>Vestiti Giulia</t>
  </si>
  <si>
    <t>Asilo</t>
  </si>
  <si>
    <t>Istruzione</t>
  </si>
  <si>
    <t>Blocchi costruzioni</t>
  </si>
  <si>
    <t>Stipendio Mensile</t>
  </si>
  <si>
    <t>Stipendio</t>
  </si>
  <si>
    <t>Pizza con gioia</t>
  </si>
  <si>
    <t>Salmoiraghi</t>
  </si>
  <si>
    <t>Quota Mensile Fideuram extra fabio</t>
  </si>
  <si>
    <t>Parrucchiera</t>
  </si>
  <si>
    <t>Prodotto pulizia casa</t>
  </si>
  <si>
    <t>Spesa Cinese</t>
  </si>
  <si>
    <t>Shein</t>
  </si>
  <si>
    <t>Materiale festa Ludo</t>
  </si>
  <si>
    <t>Regalo Fabio</t>
  </si>
  <si>
    <t>Frutta Said</t>
  </si>
  <si>
    <t>Magnesio</t>
  </si>
  <si>
    <t>Filtri acqua</t>
  </si>
  <si>
    <t>Unghie</t>
  </si>
  <si>
    <t>Vestiti fede</t>
  </si>
  <si>
    <t>Biglietti treno</t>
  </si>
  <si>
    <t>Bolletta acqua</t>
  </si>
  <si>
    <t>Bollette</t>
  </si>
  <si>
    <t>Farmacia Federico</t>
  </si>
  <si>
    <t>Ferramenta</t>
  </si>
  <si>
    <t>NowTV</t>
  </si>
  <si>
    <t>Ceretta</t>
  </si>
  <si>
    <t>Creme skincare</t>
  </si>
  <si>
    <t>Vestito frozen</t>
  </si>
  <si>
    <t>Smalti</t>
  </si>
  <si>
    <t>Prozis</t>
  </si>
  <si>
    <t>Tavolo bambini</t>
  </si>
  <si>
    <t>Temu compleanno ludo</t>
  </si>
  <si>
    <t>Palestra</t>
  </si>
  <si>
    <t>Piadine</t>
  </si>
  <si>
    <t>Bollette sorgenia</t>
  </si>
  <si>
    <t>Regali bambini</t>
  </si>
  <si>
    <t>Regalo</t>
  </si>
  <si>
    <t>Colazione</t>
  </si>
  <si>
    <t>Visita gastroenterologo</t>
  </si>
  <si>
    <t>Spianatoia</t>
  </si>
  <si>
    <t>Macchina caffe (rata)</t>
  </si>
  <si>
    <t>Cinese spesa</t>
  </si>
  <si>
    <t>Pranzo di coppia</t>
  </si>
  <si>
    <t>Liquidità Fabio</t>
  </si>
  <si>
    <t>Quota Mensile Fideuram (Automatico)</t>
  </si>
  <si>
    <t>Giroconto (Uscita)</t>
  </si>
  <si>
    <t>Diesel</t>
  </si>
  <si>
    <t>Buoni pasto</t>
  </si>
  <si>
    <t>Iliad</t>
  </si>
  <si>
    <t>Rata occhiali</t>
  </si>
  <si>
    <t>Rata auto</t>
  </si>
  <si>
    <t>Per chi</t>
  </si>
  <si>
    <t>Uscite</t>
  </si>
  <si>
    <t>Entrate</t>
  </si>
  <si>
    <t>Giroconto uscita</t>
  </si>
  <si>
    <t>Giroconto (uscita)</t>
  </si>
  <si>
    <t>Ricarica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</si>
</sst>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F66E-1378-4C28-8D14-865B92B26EB8}">
  <dimension ref="A1:N122"/>
  <sheetViews>
    <sheetView tabSelected="1" workbookViewId="0">
      <selection activeCell="L12" sqref="L12"/>
    </sheetView>
  </sheetViews>
  <sheetFormatPr defaultRowHeight="14.5" x14ac:dyDescent="0.35"/>
  <cols>
    <col min="1" max="6" width="18.6328125" customWidth="1"/>
    <col min="7" max="7" width="18.6328125" style="2" customWidth="1"/>
    <col min="10" max="10" width="15.8164062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3" t="s">
        <v>101</v>
      </c>
    </row>
    <row r="2" spans="1:14" x14ac:dyDescent="0.35">
      <c r="A2" s="1">
        <v>46053</v>
      </c>
      <c r="B2" t="s">
        <v>7</v>
      </c>
      <c r="C2" t="s">
        <v>8</v>
      </c>
      <c r="D2" t="s">
        <v>8</v>
      </c>
      <c r="E2" t="s">
        <v>8</v>
      </c>
      <c r="F2" t="s">
        <v>9</v>
      </c>
      <c r="G2" s="2">
        <v>69.81</v>
      </c>
      <c r="I2" t="s">
        <v>2</v>
      </c>
      <c r="J2" t="s">
        <v>100</v>
      </c>
      <c r="K2" t="s">
        <v>6</v>
      </c>
    </row>
    <row r="3" spans="1:14" x14ac:dyDescent="0.35">
      <c r="A3" s="1">
        <v>46053</v>
      </c>
      <c r="B3" t="s">
        <v>23</v>
      </c>
      <c r="C3" t="s">
        <v>10</v>
      </c>
      <c r="D3" t="s">
        <v>24</v>
      </c>
      <c r="E3" t="s">
        <v>11</v>
      </c>
      <c r="F3" t="s">
        <v>25</v>
      </c>
      <c r="G3" s="2">
        <v>571.29999999999995</v>
      </c>
      <c r="I3" t="s">
        <v>15</v>
      </c>
      <c r="J3" t="s">
        <v>11</v>
      </c>
      <c r="K3">
        <f>SUMIFS(G:G,C:C,I3,E:E,J3)</f>
        <v>1216.8800000000001</v>
      </c>
      <c r="M3" t="s">
        <v>15</v>
      </c>
      <c r="N3" t="s">
        <v>8</v>
      </c>
    </row>
    <row r="4" spans="1:14" x14ac:dyDescent="0.35">
      <c r="A4" s="1">
        <v>46053</v>
      </c>
      <c r="B4" t="s">
        <v>13</v>
      </c>
      <c r="C4" t="s">
        <v>8</v>
      </c>
      <c r="D4" t="s">
        <v>8</v>
      </c>
      <c r="E4" t="s">
        <v>8</v>
      </c>
      <c r="G4" s="2">
        <v>33.22</v>
      </c>
      <c r="I4" t="s">
        <v>8</v>
      </c>
      <c r="J4" t="s">
        <v>11</v>
      </c>
      <c r="K4">
        <f>SUMIFS(G:G,C:C,I4,E:E,J4)</f>
        <v>1040.9100000000001</v>
      </c>
      <c r="M4">
        <f>K3</f>
        <v>1216.8800000000001</v>
      </c>
      <c r="N4">
        <f>K4</f>
        <v>1040.9100000000001</v>
      </c>
    </row>
    <row r="5" spans="1:14" x14ac:dyDescent="0.35">
      <c r="A5" s="1">
        <v>46053</v>
      </c>
      <c r="B5" t="s">
        <v>14</v>
      </c>
      <c r="C5" t="s">
        <v>10</v>
      </c>
      <c r="D5" t="s">
        <v>15</v>
      </c>
      <c r="E5" t="s">
        <v>16</v>
      </c>
      <c r="F5" t="s">
        <v>17</v>
      </c>
      <c r="G5" s="2">
        <v>6.49</v>
      </c>
    </row>
    <row r="6" spans="1:14" x14ac:dyDescent="0.35">
      <c r="A6" s="1">
        <v>46053</v>
      </c>
      <c r="B6" t="s">
        <v>18</v>
      </c>
      <c r="C6" t="s">
        <v>10</v>
      </c>
      <c r="D6" t="s">
        <v>15</v>
      </c>
      <c r="E6" t="s">
        <v>11</v>
      </c>
      <c r="F6" t="s">
        <v>19</v>
      </c>
      <c r="G6" s="2">
        <v>30.41</v>
      </c>
      <c r="I6" s="3" t="s">
        <v>102</v>
      </c>
      <c r="M6">
        <f>(N4-M4)/2</f>
        <v>-87.985000000000014</v>
      </c>
    </row>
    <row r="7" spans="1:14" x14ac:dyDescent="0.35">
      <c r="A7" s="1">
        <v>46053</v>
      </c>
      <c r="B7" t="s">
        <v>20</v>
      </c>
      <c r="C7" t="s">
        <v>8</v>
      </c>
      <c r="D7" t="s">
        <v>8</v>
      </c>
      <c r="E7" t="s">
        <v>11</v>
      </c>
      <c r="F7" t="s">
        <v>21</v>
      </c>
      <c r="G7" s="2">
        <v>60</v>
      </c>
      <c r="I7" t="s">
        <v>2</v>
      </c>
      <c r="J7" t="s">
        <v>5</v>
      </c>
      <c r="K7" t="s">
        <v>6</v>
      </c>
    </row>
    <row r="8" spans="1:14" x14ac:dyDescent="0.35">
      <c r="A8" s="1">
        <v>46053</v>
      </c>
      <c r="B8" t="s">
        <v>22</v>
      </c>
      <c r="C8" t="s">
        <v>10</v>
      </c>
      <c r="D8" t="s">
        <v>15</v>
      </c>
      <c r="E8" t="s">
        <v>11</v>
      </c>
      <c r="F8" t="s">
        <v>21</v>
      </c>
      <c r="G8" s="2">
        <v>14.57</v>
      </c>
      <c r="I8" t="s">
        <v>15</v>
      </c>
      <c r="J8" t="s">
        <v>12</v>
      </c>
      <c r="K8">
        <f>SUMIFS(G:G,D:D,I8,F:F,J8)</f>
        <v>1200</v>
      </c>
    </row>
    <row r="9" spans="1:14" x14ac:dyDescent="0.35">
      <c r="A9" s="1">
        <v>46053</v>
      </c>
      <c r="B9" t="s">
        <v>105</v>
      </c>
      <c r="C9" t="s">
        <v>15</v>
      </c>
      <c r="D9" t="s">
        <v>15</v>
      </c>
      <c r="E9" t="s">
        <v>11</v>
      </c>
      <c r="F9" t="s">
        <v>94</v>
      </c>
      <c r="G9" s="2">
        <v>600</v>
      </c>
      <c r="I9" t="s">
        <v>8</v>
      </c>
      <c r="J9" t="s">
        <v>12</v>
      </c>
      <c r="K9">
        <f>SUMIFS(G:G,D:D,I9,F:F,J9)</f>
        <v>600</v>
      </c>
    </row>
    <row r="10" spans="1:14" x14ac:dyDescent="0.35">
      <c r="A10" s="1">
        <v>46053</v>
      </c>
      <c r="B10" t="s">
        <v>26</v>
      </c>
      <c r="C10" t="s">
        <v>10</v>
      </c>
      <c r="D10" t="s">
        <v>15</v>
      </c>
      <c r="E10" t="s">
        <v>24</v>
      </c>
      <c r="F10" t="s">
        <v>27</v>
      </c>
      <c r="G10" s="2">
        <v>28.57</v>
      </c>
    </row>
    <row r="11" spans="1:14" x14ac:dyDescent="0.35">
      <c r="A11" s="1">
        <v>46053</v>
      </c>
      <c r="B11" t="s">
        <v>28</v>
      </c>
      <c r="C11" t="s">
        <v>8</v>
      </c>
      <c r="D11" t="s">
        <v>8</v>
      </c>
      <c r="E11" t="s">
        <v>11</v>
      </c>
      <c r="F11" t="s">
        <v>9</v>
      </c>
      <c r="G11" s="2">
        <v>17</v>
      </c>
      <c r="I11" s="3" t="s">
        <v>103</v>
      </c>
    </row>
    <row r="12" spans="1:14" x14ac:dyDescent="0.35">
      <c r="A12" s="1">
        <v>46053</v>
      </c>
      <c r="B12" t="s">
        <v>29</v>
      </c>
      <c r="C12" t="s">
        <v>8</v>
      </c>
      <c r="D12" t="s">
        <v>8</v>
      </c>
      <c r="E12" t="s">
        <v>8</v>
      </c>
      <c r="F12" t="s">
        <v>30</v>
      </c>
      <c r="G12" s="2">
        <v>19.899999999999999</v>
      </c>
      <c r="I12" t="s">
        <v>2</v>
      </c>
      <c r="J12" t="s">
        <v>5</v>
      </c>
      <c r="K12" t="s">
        <v>6</v>
      </c>
    </row>
    <row r="13" spans="1:14" x14ac:dyDescent="0.35">
      <c r="A13" s="1">
        <v>46052</v>
      </c>
      <c r="B13" t="s">
        <v>26</v>
      </c>
      <c r="C13" t="s">
        <v>10</v>
      </c>
      <c r="D13" t="s">
        <v>8</v>
      </c>
      <c r="E13" t="s">
        <v>11</v>
      </c>
      <c r="F13" t="s">
        <v>27</v>
      </c>
      <c r="G13" s="2">
        <v>38.119999999999997</v>
      </c>
      <c r="I13" t="s">
        <v>15</v>
      </c>
      <c r="J13" t="s">
        <v>104</v>
      </c>
      <c r="K13">
        <f>SUMIFS(G:G,D:D,I13,F:F,J13)</f>
        <v>1200</v>
      </c>
    </row>
    <row r="14" spans="1:14" x14ac:dyDescent="0.35">
      <c r="A14" s="1">
        <v>46052</v>
      </c>
      <c r="B14" t="s">
        <v>31</v>
      </c>
      <c r="C14" t="s">
        <v>8</v>
      </c>
      <c r="D14" t="s">
        <v>8</v>
      </c>
      <c r="E14" t="s">
        <v>15</v>
      </c>
      <c r="F14" t="s">
        <v>9</v>
      </c>
      <c r="G14" s="2">
        <v>62.5</v>
      </c>
      <c r="I14" t="s">
        <v>8</v>
      </c>
      <c r="J14" t="s">
        <v>104</v>
      </c>
      <c r="K14">
        <f>SUMIFS(G:G,D:D,I14,F:F,J14)</f>
        <v>600</v>
      </c>
    </row>
    <row r="15" spans="1:14" x14ac:dyDescent="0.35">
      <c r="A15" s="1">
        <v>46052</v>
      </c>
      <c r="B15" t="s">
        <v>32</v>
      </c>
      <c r="C15" t="s">
        <v>8</v>
      </c>
      <c r="D15" t="s">
        <v>8</v>
      </c>
      <c r="E15" t="s">
        <v>8</v>
      </c>
      <c r="F15" t="s">
        <v>9</v>
      </c>
      <c r="G15" s="2">
        <v>122.4</v>
      </c>
    </row>
    <row r="16" spans="1:14" x14ac:dyDescent="0.35">
      <c r="A16" s="1">
        <v>46050</v>
      </c>
      <c r="B16" t="s">
        <v>26</v>
      </c>
      <c r="C16" t="s">
        <v>10</v>
      </c>
      <c r="D16" t="s">
        <v>8</v>
      </c>
      <c r="E16" t="s">
        <v>11</v>
      </c>
      <c r="F16" t="s">
        <v>27</v>
      </c>
      <c r="G16" s="2">
        <v>10.92</v>
      </c>
    </row>
    <row r="17" spans="1:7" x14ac:dyDescent="0.35">
      <c r="A17" s="1">
        <v>46050</v>
      </c>
      <c r="B17" t="s">
        <v>33</v>
      </c>
      <c r="C17" t="s">
        <v>10</v>
      </c>
      <c r="D17" t="s">
        <v>15</v>
      </c>
      <c r="E17" t="s">
        <v>11</v>
      </c>
      <c r="F17" t="s">
        <v>34</v>
      </c>
      <c r="G17" s="2">
        <v>6.99</v>
      </c>
    </row>
    <row r="18" spans="1:7" x14ac:dyDescent="0.35">
      <c r="A18" s="1">
        <v>46049</v>
      </c>
      <c r="B18" t="s">
        <v>35</v>
      </c>
      <c r="C18" t="s">
        <v>10</v>
      </c>
      <c r="D18" t="s">
        <v>8</v>
      </c>
      <c r="E18" t="s">
        <v>16</v>
      </c>
      <c r="F18" t="s">
        <v>17</v>
      </c>
      <c r="G18" s="2">
        <v>10.34</v>
      </c>
    </row>
    <row r="19" spans="1:7" x14ac:dyDescent="0.35">
      <c r="A19" s="1">
        <v>46049</v>
      </c>
      <c r="B19" t="s">
        <v>36</v>
      </c>
      <c r="C19" t="s">
        <v>10</v>
      </c>
      <c r="D19" t="s">
        <v>8</v>
      </c>
      <c r="E19" t="s">
        <v>11</v>
      </c>
      <c r="F19" t="s">
        <v>21</v>
      </c>
      <c r="G19" s="2">
        <v>89.55</v>
      </c>
    </row>
    <row r="20" spans="1:7" x14ac:dyDescent="0.35">
      <c r="A20" s="1">
        <v>46049</v>
      </c>
      <c r="B20" t="s">
        <v>28</v>
      </c>
      <c r="C20" t="s">
        <v>10</v>
      </c>
      <c r="D20" t="s">
        <v>15</v>
      </c>
      <c r="E20" t="s">
        <v>11</v>
      </c>
      <c r="F20" t="s">
        <v>9</v>
      </c>
      <c r="G20" s="2">
        <v>17.899999999999999</v>
      </c>
    </row>
    <row r="21" spans="1:7" x14ac:dyDescent="0.35">
      <c r="A21" s="1">
        <v>46048</v>
      </c>
      <c r="B21" t="s">
        <v>37</v>
      </c>
      <c r="C21" t="s">
        <v>8</v>
      </c>
      <c r="D21" t="s">
        <v>8</v>
      </c>
      <c r="E21" t="s">
        <v>8</v>
      </c>
      <c r="G21" s="2">
        <v>99</v>
      </c>
    </row>
    <row r="22" spans="1:7" x14ac:dyDescent="0.35">
      <c r="A22" s="1">
        <v>46048</v>
      </c>
      <c r="B22" t="s">
        <v>38</v>
      </c>
      <c r="C22" t="s">
        <v>10</v>
      </c>
      <c r="D22" t="s">
        <v>8</v>
      </c>
      <c r="E22" t="s">
        <v>11</v>
      </c>
      <c r="F22" t="s">
        <v>21</v>
      </c>
      <c r="G22" s="2">
        <v>98</v>
      </c>
    </row>
    <row r="23" spans="1:7" x14ac:dyDescent="0.35">
      <c r="A23" s="1">
        <v>46047</v>
      </c>
      <c r="B23" t="s">
        <v>26</v>
      </c>
      <c r="C23" t="s">
        <v>10</v>
      </c>
      <c r="D23" t="s">
        <v>8</v>
      </c>
      <c r="E23" t="s">
        <v>11</v>
      </c>
      <c r="F23" t="s">
        <v>27</v>
      </c>
      <c r="G23" s="2">
        <v>14.78</v>
      </c>
    </row>
    <row r="24" spans="1:7" x14ac:dyDescent="0.35">
      <c r="A24" s="1">
        <v>46047</v>
      </c>
      <c r="B24" t="s">
        <v>39</v>
      </c>
      <c r="C24" t="s">
        <v>10</v>
      </c>
      <c r="D24" t="s">
        <v>15</v>
      </c>
      <c r="E24" t="s">
        <v>11</v>
      </c>
      <c r="F24" t="s">
        <v>30</v>
      </c>
      <c r="G24" s="2">
        <v>8.5</v>
      </c>
    </row>
    <row r="25" spans="1:7" x14ac:dyDescent="0.35">
      <c r="A25" s="1">
        <v>46047</v>
      </c>
      <c r="B25" t="s">
        <v>26</v>
      </c>
      <c r="C25" t="s">
        <v>40</v>
      </c>
      <c r="D25" t="s">
        <v>8</v>
      </c>
      <c r="E25" t="s">
        <v>11</v>
      </c>
      <c r="F25" t="s">
        <v>27</v>
      </c>
      <c r="G25" s="2">
        <v>15</v>
      </c>
    </row>
    <row r="26" spans="1:7" x14ac:dyDescent="0.35">
      <c r="A26" s="1">
        <v>46046</v>
      </c>
      <c r="B26" t="s">
        <v>28</v>
      </c>
      <c r="C26" t="s">
        <v>10</v>
      </c>
      <c r="D26" t="s">
        <v>15</v>
      </c>
      <c r="E26" t="s">
        <v>11</v>
      </c>
      <c r="F26" t="s">
        <v>9</v>
      </c>
      <c r="G26" s="2">
        <v>32.700000000000003</v>
      </c>
    </row>
    <row r="27" spans="1:7" x14ac:dyDescent="0.35">
      <c r="A27" s="1">
        <v>46046</v>
      </c>
      <c r="B27" t="s">
        <v>41</v>
      </c>
      <c r="C27" t="s">
        <v>10</v>
      </c>
      <c r="D27" t="s">
        <v>15</v>
      </c>
      <c r="E27" t="s">
        <v>42</v>
      </c>
      <c r="F27" t="s">
        <v>27</v>
      </c>
      <c r="G27" s="2">
        <v>33.04</v>
      </c>
    </row>
    <row r="28" spans="1:7" x14ac:dyDescent="0.35">
      <c r="A28" s="1">
        <v>46046</v>
      </c>
      <c r="B28" t="s">
        <v>43</v>
      </c>
      <c r="C28" t="s">
        <v>10</v>
      </c>
      <c r="D28" t="s">
        <v>15</v>
      </c>
      <c r="E28" t="s">
        <v>11</v>
      </c>
      <c r="F28" t="s">
        <v>34</v>
      </c>
      <c r="G28" s="2">
        <v>16.989999999999998</v>
      </c>
    </row>
    <row r="29" spans="1:7" x14ac:dyDescent="0.35">
      <c r="A29" s="1">
        <v>46046</v>
      </c>
      <c r="B29" t="s">
        <v>26</v>
      </c>
      <c r="C29" t="s">
        <v>10</v>
      </c>
      <c r="D29" t="s">
        <v>15</v>
      </c>
      <c r="E29" t="s">
        <v>11</v>
      </c>
      <c r="F29" t="s">
        <v>27</v>
      </c>
      <c r="G29" s="2">
        <v>63.64</v>
      </c>
    </row>
    <row r="30" spans="1:7" x14ac:dyDescent="0.35">
      <c r="A30" s="1">
        <v>46045</v>
      </c>
      <c r="B30" t="s">
        <v>44</v>
      </c>
      <c r="C30" t="s">
        <v>10</v>
      </c>
      <c r="D30" t="s">
        <v>15</v>
      </c>
      <c r="E30" t="s">
        <v>16</v>
      </c>
      <c r="F30" t="s">
        <v>45</v>
      </c>
      <c r="G30" s="2">
        <v>71.849999999999994</v>
      </c>
    </row>
    <row r="31" spans="1:7" x14ac:dyDescent="0.35">
      <c r="A31" s="1">
        <v>46045</v>
      </c>
      <c r="B31" t="s">
        <v>46</v>
      </c>
      <c r="C31" t="s">
        <v>10</v>
      </c>
      <c r="D31" t="s">
        <v>15</v>
      </c>
      <c r="E31" t="s">
        <v>11</v>
      </c>
      <c r="F31" t="s">
        <v>30</v>
      </c>
      <c r="G31" s="2">
        <v>28</v>
      </c>
    </row>
    <row r="32" spans="1:7" x14ac:dyDescent="0.35">
      <c r="A32" s="1">
        <v>46045</v>
      </c>
      <c r="B32" t="s">
        <v>47</v>
      </c>
      <c r="C32" t="s">
        <v>10</v>
      </c>
      <c r="D32" t="s">
        <v>8</v>
      </c>
      <c r="E32" t="s">
        <v>16</v>
      </c>
      <c r="F32" t="s">
        <v>45</v>
      </c>
      <c r="G32" s="2">
        <v>42.26</v>
      </c>
    </row>
    <row r="33" spans="1:7" x14ac:dyDescent="0.35">
      <c r="A33" s="1">
        <v>46045</v>
      </c>
      <c r="B33" t="s">
        <v>48</v>
      </c>
      <c r="C33" t="s">
        <v>8</v>
      </c>
      <c r="D33" t="s">
        <v>8</v>
      </c>
      <c r="E33" t="s">
        <v>8</v>
      </c>
      <c r="F33" t="s">
        <v>45</v>
      </c>
      <c r="G33" s="2">
        <v>80</v>
      </c>
    </row>
    <row r="34" spans="1:7" x14ac:dyDescent="0.35">
      <c r="A34" s="1">
        <v>46045</v>
      </c>
      <c r="B34" t="s">
        <v>49</v>
      </c>
      <c r="C34" t="s">
        <v>10</v>
      </c>
      <c r="D34" t="s">
        <v>15</v>
      </c>
      <c r="E34" t="s">
        <v>16</v>
      </c>
      <c r="F34" t="s">
        <v>50</v>
      </c>
      <c r="G34" s="2">
        <v>81.760000000000005</v>
      </c>
    </row>
    <row r="35" spans="1:7" x14ac:dyDescent="0.35">
      <c r="A35" s="1">
        <v>46045</v>
      </c>
      <c r="B35" t="s">
        <v>51</v>
      </c>
      <c r="C35" t="s">
        <v>10</v>
      </c>
      <c r="D35" t="s">
        <v>15</v>
      </c>
      <c r="E35" t="s">
        <v>42</v>
      </c>
      <c r="F35" t="s">
        <v>17</v>
      </c>
      <c r="G35" s="2">
        <v>9.65</v>
      </c>
    </row>
    <row r="36" spans="1:7" x14ac:dyDescent="0.35">
      <c r="A36" s="1">
        <v>46044</v>
      </c>
      <c r="B36" t="s">
        <v>38</v>
      </c>
      <c r="C36" t="s">
        <v>8</v>
      </c>
      <c r="D36" t="s">
        <v>8</v>
      </c>
      <c r="E36" t="s">
        <v>11</v>
      </c>
      <c r="F36" t="s">
        <v>21</v>
      </c>
      <c r="G36" s="2">
        <v>48</v>
      </c>
    </row>
    <row r="37" spans="1:7" x14ac:dyDescent="0.35">
      <c r="A37" s="1">
        <v>46044</v>
      </c>
      <c r="B37" t="s">
        <v>52</v>
      </c>
      <c r="C37" t="s">
        <v>8</v>
      </c>
      <c r="D37" t="s">
        <v>8</v>
      </c>
      <c r="E37" t="s">
        <v>8</v>
      </c>
      <c r="F37" t="s">
        <v>53</v>
      </c>
      <c r="G37" s="2">
        <v>3452</v>
      </c>
    </row>
    <row r="38" spans="1:7" x14ac:dyDescent="0.35">
      <c r="A38" s="1">
        <v>46044</v>
      </c>
      <c r="B38" t="s">
        <v>26</v>
      </c>
      <c r="C38" t="s">
        <v>8</v>
      </c>
      <c r="D38" t="s">
        <v>8</v>
      </c>
      <c r="E38" t="s">
        <v>11</v>
      </c>
      <c r="F38" t="s">
        <v>27</v>
      </c>
      <c r="G38" s="2">
        <v>11.5</v>
      </c>
    </row>
    <row r="39" spans="1:7" x14ac:dyDescent="0.35">
      <c r="A39" s="1">
        <v>46043</v>
      </c>
      <c r="B39" t="s">
        <v>54</v>
      </c>
      <c r="C39" t="s">
        <v>8</v>
      </c>
      <c r="D39" t="s">
        <v>8</v>
      </c>
      <c r="E39" t="s">
        <v>8</v>
      </c>
      <c r="F39" t="s">
        <v>30</v>
      </c>
      <c r="G39" s="2">
        <v>19.5</v>
      </c>
    </row>
    <row r="40" spans="1:7" x14ac:dyDescent="0.35">
      <c r="A40" s="1">
        <v>46043</v>
      </c>
      <c r="B40" t="s">
        <v>26</v>
      </c>
      <c r="C40" t="s">
        <v>8</v>
      </c>
      <c r="D40" t="s">
        <v>8</v>
      </c>
      <c r="E40" t="s">
        <v>11</v>
      </c>
      <c r="F40" t="s">
        <v>27</v>
      </c>
      <c r="G40" s="2">
        <v>6.47</v>
      </c>
    </row>
    <row r="41" spans="1:7" x14ac:dyDescent="0.35">
      <c r="A41" s="1">
        <v>46043</v>
      </c>
      <c r="B41" t="s">
        <v>55</v>
      </c>
      <c r="C41" t="s">
        <v>8</v>
      </c>
      <c r="D41" t="s">
        <v>8</v>
      </c>
      <c r="E41" t="s">
        <v>8</v>
      </c>
      <c r="F41" t="s">
        <v>9</v>
      </c>
      <c r="G41" s="2">
        <v>165</v>
      </c>
    </row>
    <row r="42" spans="1:7" x14ac:dyDescent="0.35">
      <c r="A42" s="1">
        <v>46043</v>
      </c>
      <c r="B42" t="s">
        <v>56</v>
      </c>
      <c r="C42" t="s">
        <v>10</v>
      </c>
      <c r="D42" t="s">
        <v>15</v>
      </c>
      <c r="F42" t="s">
        <v>12</v>
      </c>
      <c r="G42" s="2">
        <v>600</v>
      </c>
    </row>
    <row r="43" spans="1:7" x14ac:dyDescent="0.35">
      <c r="A43" s="1">
        <v>46041</v>
      </c>
      <c r="B43" t="s">
        <v>57</v>
      </c>
      <c r="C43" t="s">
        <v>8</v>
      </c>
      <c r="D43" t="s">
        <v>8</v>
      </c>
      <c r="E43" t="s">
        <v>8</v>
      </c>
      <c r="F43" t="s">
        <v>9</v>
      </c>
      <c r="G43" s="2">
        <v>145</v>
      </c>
    </row>
    <row r="44" spans="1:7" x14ac:dyDescent="0.35">
      <c r="A44" s="1">
        <v>46041</v>
      </c>
      <c r="B44" t="s">
        <v>58</v>
      </c>
      <c r="C44" t="s">
        <v>8</v>
      </c>
      <c r="D44" t="s">
        <v>8</v>
      </c>
      <c r="E44" t="s">
        <v>11</v>
      </c>
      <c r="F44" t="s">
        <v>21</v>
      </c>
      <c r="G44" s="2">
        <v>41.9</v>
      </c>
    </row>
    <row r="45" spans="1:7" x14ac:dyDescent="0.35">
      <c r="A45" s="1">
        <v>46041</v>
      </c>
      <c r="B45" t="s">
        <v>29</v>
      </c>
      <c r="C45" t="s">
        <v>8</v>
      </c>
      <c r="D45" t="s">
        <v>8</v>
      </c>
      <c r="E45" t="s">
        <v>8</v>
      </c>
      <c r="F45" t="s">
        <v>30</v>
      </c>
      <c r="G45" s="2">
        <v>22.8</v>
      </c>
    </row>
    <row r="46" spans="1:7" x14ac:dyDescent="0.35">
      <c r="A46" s="1">
        <v>46041</v>
      </c>
      <c r="B46" t="s">
        <v>26</v>
      </c>
      <c r="C46" t="s">
        <v>8</v>
      </c>
      <c r="D46" t="s">
        <v>8</v>
      </c>
      <c r="E46" t="s">
        <v>11</v>
      </c>
      <c r="F46" t="s">
        <v>27</v>
      </c>
      <c r="G46" s="2">
        <v>20.03</v>
      </c>
    </row>
    <row r="47" spans="1:7" x14ac:dyDescent="0.35">
      <c r="A47" s="1">
        <v>46041</v>
      </c>
      <c r="B47" t="s">
        <v>59</v>
      </c>
      <c r="C47" t="s">
        <v>8</v>
      </c>
      <c r="D47" t="s">
        <v>8</v>
      </c>
      <c r="E47" t="s">
        <v>16</v>
      </c>
      <c r="F47" t="s">
        <v>17</v>
      </c>
      <c r="G47" s="2">
        <v>23.27</v>
      </c>
    </row>
    <row r="48" spans="1:7" x14ac:dyDescent="0.35">
      <c r="A48" s="1">
        <v>46041</v>
      </c>
      <c r="B48" t="s">
        <v>26</v>
      </c>
      <c r="C48" t="s">
        <v>8</v>
      </c>
      <c r="D48" t="s">
        <v>8</v>
      </c>
      <c r="E48" t="s">
        <v>11</v>
      </c>
      <c r="F48" t="s">
        <v>27</v>
      </c>
      <c r="G48" s="2">
        <v>70</v>
      </c>
    </row>
    <row r="49" spans="1:7" x14ac:dyDescent="0.35">
      <c r="A49" s="1">
        <v>46041</v>
      </c>
      <c r="B49" t="s">
        <v>38</v>
      </c>
      <c r="C49" t="s">
        <v>10</v>
      </c>
      <c r="D49" t="s">
        <v>15</v>
      </c>
      <c r="E49" t="s">
        <v>11</v>
      </c>
      <c r="F49" t="s">
        <v>21</v>
      </c>
      <c r="G49" s="2">
        <v>48</v>
      </c>
    </row>
    <row r="50" spans="1:7" x14ac:dyDescent="0.35">
      <c r="A50" s="1">
        <v>46039</v>
      </c>
      <c r="B50" t="s">
        <v>60</v>
      </c>
      <c r="C50" t="s">
        <v>8</v>
      </c>
      <c r="D50" t="s">
        <v>8</v>
      </c>
      <c r="E50" t="s">
        <v>8</v>
      </c>
      <c r="F50" t="s">
        <v>45</v>
      </c>
      <c r="G50" s="2">
        <v>35</v>
      </c>
    </row>
    <row r="51" spans="1:7" x14ac:dyDescent="0.35">
      <c r="A51" s="1">
        <v>46039</v>
      </c>
      <c r="B51" t="s">
        <v>61</v>
      </c>
      <c r="C51" t="s">
        <v>8</v>
      </c>
      <c r="D51" t="s">
        <v>8</v>
      </c>
      <c r="E51" t="s">
        <v>11</v>
      </c>
      <c r="F51" t="s">
        <v>17</v>
      </c>
      <c r="G51" s="2">
        <v>45</v>
      </c>
    </row>
    <row r="52" spans="1:7" x14ac:dyDescent="0.35">
      <c r="A52" s="1">
        <v>46039</v>
      </c>
      <c r="B52" t="s">
        <v>62</v>
      </c>
      <c r="C52" t="s">
        <v>8</v>
      </c>
      <c r="D52" t="s">
        <v>8</v>
      </c>
      <c r="E52" t="s">
        <v>8</v>
      </c>
      <c r="F52" t="s">
        <v>17</v>
      </c>
      <c r="G52" s="2">
        <v>100</v>
      </c>
    </row>
    <row r="53" spans="1:7" x14ac:dyDescent="0.35">
      <c r="A53" s="1">
        <v>46038</v>
      </c>
      <c r="B53" t="s">
        <v>26</v>
      </c>
      <c r="C53" t="s">
        <v>15</v>
      </c>
      <c r="D53" t="s">
        <v>15</v>
      </c>
      <c r="E53" t="s">
        <v>11</v>
      </c>
      <c r="F53" t="s">
        <v>27</v>
      </c>
      <c r="G53" s="2">
        <v>6.38</v>
      </c>
    </row>
    <row r="54" spans="1:7" x14ac:dyDescent="0.35">
      <c r="A54" s="1">
        <v>46038</v>
      </c>
      <c r="B54" t="s">
        <v>63</v>
      </c>
      <c r="C54" t="s">
        <v>15</v>
      </c>
      <c r="D54" t="s">
        <v>15</v>
      </c>
      <c r="E54" t="s">
        <v>11</v>
      </c>
      <c r="F54" t="s">
        <v>27</v>
      </c>
      <c r="G54" s="2">
        <v>10.5</v>
      </c>
    </row>
    <row r="55" spans="1:7" x14ac:dyDescent="0.35">
      <c r="A55" s="1">
        <v>46038</v>
      </c>
      <c r="B55" t="s">
        <v>63</v>
      </c>
      <c r="C55" t="s">
        <v>8</v>
      </c>
      <c r="D55" t="s">
        <v>8</v>
      </c>
      <c r="E55" t="s">
        <v>11</v>
      </c>
      <c r="F55" t="s">
        <v>27</v>
      </c>
      <c r="G55" s="2">
        <v>6.5</v>
      </c>
    </row>
    <row r="56" spans="1:7" x14ac:dyDescent="0.35">
      <c r="A56" s="1">
        <v>46038</v>
      </c>
      <c r="B56" t="s">
        <v>26</v>
      </c>
      <c r="C56" t="s">
        <v>8</v>
      </c>
      <c r="D56" t="s">
        <v>8</v>
      </c>
      <c r="E56" t="s">
        <v>11</v>
      </c>
      <c r="F56" t="s">
        <v>27</v>
      </c>
      <c r="G56" s="2">
        <v>53.62</v>
      </c>
    </row>
    <row r="57" spans="1:7" x14ac:dyDescent="0.35">
      <c r="A57" s="1">
        <v>46037</v>
      </c>
      <c r="B57" t="s">
        <v>26</v>
      </c>
      <c r="C57" t="s">
        <v>8</v>
      </c>
      <c r="D57" t="s">
        <v>8</v>
      </c>
      <c r="E57" t="s">
        <v>11</v>
      </c>
      <c r="F57" t="s">
        <v>27</v>
      </c>
      <c r="G57" s="2">
        <v>20</v>
      </c>
    </row>
    <row r="58" spans="1:7" x14ac:dyDescent="0.35">
      <c r="A58" s="1">
        <v>46037</v>
      </c>
      <c r="B58" t="s">
        <v>26</v>
      </c>
      <c r="C58" t="s">
        <v>40</v>
      </c>
      <c r="D58" t="s">
        <v>8</v>
      </c>
      <c r="E58" t="s">
        <v>11</v>
      </c>
      <c r="F58" t="s">
        <v>27</v>
      </c>
      <c r="G58" s="2">
        <v>22.5</v>
      </c>
    </row>
    <row r="59" spans="1:7" x14ac:dyDescent="0.35">
      <c r="A59" s="1">
        <v>46036</v>
      </c>
      <c r="B59" t="s">
        <v>64</v>
      </c>
      <c r="C59" t="s">
        <v>8</v>
      </c>
      <c r="D59" t="s">
        <v>8</v>
      </c>
      <c r="E59" t="s">
        <v>8</v>
      </c>
      <c r="F59" t="s">
        <v>9</v>
      </c>
      <c r="G59" s="2">
        <v>15.93</v>
      </c>
    </row>
    <row r="60" spans="1:7" x14ac:dyDescent="0.35">
      <c r="A60" s="1">
        <v>46036</v>
      </c>
      <c r="B60" t="s">
        <v>65</v>
      </c>
      <c r="C60" t="s">
        <v>10</v>
      </c>
      <c r="D60" t="s">
        <v>15</v>
      </c>
      <c r="E60" t="s">
        <v>11</v>
      </c>
      <c r="F60" t="s">
        <v>21</v>
      </c>
      <c r="G60" s="2">
        <v>38</v>
      </c>
    </row>
    <row r="61" spans="1:7" x14ac:dyDescent="0.35">
      <c r="A61" s="1">
        <v>46036</v>
      </c>
      <c r="B61" t="s">
        <v>66</v>
      </c>
      <c r="C61" t="s">
        <v>8</v>
      </c>
      <c r="D61" t="s">
        <v>8</v>
      </c>
      <c r="E61" t="s">
        <v>8</v>
      </c>
      <c r="F61" t="s">
        <v>9</v>
      </c>
      <c r="G61" s="2">
        <v>7.99</v>
      </c>
    </row>
    <row r="62" spans="1:7" x14ac:dyDescent="0.35">
      <c r="A62" s="1">
        <v>46036</v>
      </c>
      <c r="B62" t="s">
        <v>35</v>
      </c>
      <c r="C62" t="s">
        <v>10</v>
      </c>
      <c r="D62" t="s">
        <v>8</v>
      </c>
      <c r="E62" t="s">
        <v>11</v>
      </c>
      <c r="F62" t="s">
        <v>21</v>
      </c>
      <c r="G62" s="2">
        <v>38.880000000000003</v>
      </c>
    </row>
    <row r="63" spans="1:7" x14ac:dyDescent="0.35">
      <c r="A63" s="1">
        <v>46036</v>
      </c>
      <c r="B63" t="s">
        <v>67</v>
      </c>
      <c r="C63" t="s">
        <v>10</v>
      </c>
      <c r="D63" t="s">
        <v>8</v>
      </c>
      <c r="E63" t="s">
        <v>42</v>
      </c>
      <c r="F63" t="s">
        <v>17</v>
      </c>
      <c r="G63" s="2">
        <v>64.150000000000006</v>
      </c>
    </row>
    <row r="64" spans="1:7" x14ac:dyDescent="0.35">
      <c r="A64" s="1">
        <v>46035</v>
      </c>
      <c r="B64" t="s">
        <v>68</v>
      </c>
      <c r="C64" t="s">
        <v>15</v>
      </c>
      <c r="D64" t="s">
        <v>15</v>
      </c>
      <c r="E64" t="s">
        <v>15</v>
      </c>
      <c r="F64" t="s">
        <v>19</v>
      </c>
      <c r="G64" s="2">
        <v>37.799999999999997</v>
      </c>
    </row>
    <row r="65" spans="1:7" x14ac:dyDescent="0.35">
      <c r="A65" s="1">
        <v>46034</v>
      </c>
      <c r="B65" t="s">
        <v>69</v>
      </c>
      <c r="C65" t="s">
        <v>10</v>
      </c>
      <c r="D65" t="s">
        <v>8</v>
      </c>
      <c r="E65" t="s">
        <v>11</v>
      </c>
      <c r="F65" t="s">
        <v>70</v>
      </c>
      <c r="G65" s="2">
        <v>40.06</v>
      </c>
    </row>
    <row r="66" spans="1:7" x14ac:dyDescent="0.35">
      <c r="A66" s="1">
        <v>46034</v>
      </c>
      <c r="B66" t="s">
        <v>38</v>
      </c>
      <c r="C66" t="s">
        <v>10</v>
      </c>
      <c r="D66" t="s">
        <v>8</v>
      </c>
      <c r="E66" t="s">
        <v>11</v>
      </c>
      <c r="F66" t="s">
        <v>21</v>
      </c>
      <c r="G66" s="2">
        <v>41</v>
      </c>
    </row>
    <row r="67" spans="1:7" x14ac:dyDescent="0.35">
      <c r="A67" s="1">
        <v>46034</v>
      </c>
      <c r="B67" t="s">
        <v>26</v>
      </c>
      <c r="C67" t="s">
        <v>8</v>
      </c>
      <c r="D67" t="s">
        <v>8</v>
      </c>
      <c r="E67" t="s">
        <v>11</v>
      </c>
      <c r="F67" t="s">
        <v>27</v>
      </c>
      <c r="G67" s="2">
        <v>14.44</v>
      </c>
    </row>
    <row r="68" spans="1:7" x14ac:dyDescent="0.35">
      <c r="A68" s="1">
        <v>46033</v>
      </c>
      <c r="B68" t="s">
        <v>26</v>
      </c>
      <c r="C68" t="s">
        <v>40</v>
      </c>
      <c r="D68" t="s">
        <v>15</v>
      </c>
      <c r="E68" t="s">
        <v>11</v>
      </c>
      <c r="F68" t="s">
        <v>27</v>
      </c>
      <c r="G68" s="2">
        <v>15</v>
      </c>
    </row>
    <row r="69" spans="1:7" x14ac:dyDescent="0.35">
      <c r="A69" s="1">
        <v>46033</v>
      </c>
      <c r="B69" t="s">
        <v>26</v>
      </c>
      <c r="C69" t="s">
        <v>10</v>
      </c>
      <c r="D69" t="s">
        <v>8</v>
      </c>
      <c r="E69" t="s">
        <v>11</v>
      </c>
      <c r="F69" t="s">
        <v>27</v>
      </c>
      <c r="G69" s="2">
        <v>41.23</v>
      </c>
    </row>
    <row r="70" spans="1:7" x14ac:dyDescent="0.35">
      <c r="A70" s="1">
        <v>46033</v>
      </c>
      <c r="B70" t="s">
        <v>26</v>
      </c>
      <c r="C70" t="s">
        <v>10</v>
      </c>
      <c r="D70" t="s">
        <v>15</v>
      </c>
      <c r="E70" t="s">
        <v>11</v>
      </c>
      <c r="F70" t="s">
        <v>27</v>
      </c>
      <c r="G70" s="2">
        <v>5.87</v>
      </c>
    </row>
    <row r="71" spans="1:7" x14ac:dyDescent="0.35">
      <c r="A71" s="1">
        <v>46033</v>
      </c>
      <c r="B71" t="s">
        <v>26</v>
      </c>
      <c r="C71" t="s">
        <v>10</v>
      </c>
      <c r="D71" t="s">
        <v>15</v>
      </c>
      <c r="E71" t="s">
        <v>11</v>
      </c>
      <c r="F71" t="s">
        <v>27</v>
      </c>
      <c r="G71" s="2">
        <v>8.4600000000000009</v>
      </c>
    </row>
    <row r="72" spans="1:7" x14ac:dyDescent="0.35">
      <c r="A72" s="1">
        <v>46032</v>
      </c>
      <c r="B72" t="s">
        <v>26</v>
      </c>
      <c r="C72" t="s">
        <v>40</v>
      </c>
      <c r="D72" t="s">
        <v>15</v>
      </c>
      <c r="E72" t="s">
        <v>11</v>
      </c>
      <c r="F72" t="s">
        <v>21</v>
      </c>
      <c r="G72" s="2">
        <v>7.47</v>
      </c>
    </row>
    <row r="73" spans="1:7" x14ac:dyDescent="0.35">
      <c r="A73" s="1">
        <v>46032</v>
      </c>
      <c r="B73" t="s">
        <v>71</v>
      </c>
      <c r="C73" t="s">
        <v>10</v>
      </c>
      <c r="D73" t="s">
        <v>15</v>
      </c>
      <c r="E73" t="s">
        <v>42</v>
      </c>
      <c r="F73" t="s">
        <v>9</v>
      </c>
      <c r="G73" s="2">
        <v>43.1</v>
      </c>
    </row>
    <row r="74" spans="1:7" x14ac:dyDescent="0.35">
      <c r="A74" s="1">
        <v>46032</v>
      </c>
      <c r="B74" t="s">
        <v>26</v>
      </c>
      <c r="C74" t="s">
        <v>10</v>
      </c>
      <c r="D74" t="s">
        <v>15</v>
      </c>
      <c r="E74" t="s">
        <v>11</v>
      </c>
      <c r="F74" t="s">
        <v>27</v>
      </c>
      <c r="G74" s="2">
        <v>15.51</v>
      </c>
    </row>
    <row r="75" spans="1:7" x14ac:dyDescent="0.35">
      <c r="A75" s="1">
        <v>46032</v>
      </c>
      <c r="B75" t="s">
        <v>72</v>
      </c>
      <c r="C75" t="s">
        <v>10</v>
      </c>
      <c r="D75" t="s">
        <v>15</v>
      </c>
      <c r="E75" t="s">
        <v>16</v>
      </c>
      <c r="F75" t="s">
        <v>17</v>
      </c>
      <c r="G75" s="2">
        <v>9.6999999999999993</v>
      </c>
    </row>
    <row r="76" spans="1:7" x14ac:dyDescent="0.35">
      <c r="A76" s="1">
        <v>46032</v>
      </c>
      <c r="B76" t="s">
        <v>73</v>
      </c>
      <c r="C76" t="s">
        <v>10</v>
      </c>
      <c r="D76" t="s">
        <v>15</v>
      </c>
      <c r="E76" t="s">
        <v>11</v>
      </c>
      <c r="F76" t="s">
        <v>34</v>
      </c>
      <c r="G76" s="2">
        <v>8.99</v>
      </c>
    </row>
    <row r="77" spans="1:7" x14ac:dyDescent="0.35">
      <c r="A77" s="1">
        <v>46032</v>
      </c>
      <c r="B77" t="s">
        <v>63</v>
      </c>
      <c r="C77" t="s">
        <v>10</v>
      </c>
      <c r="D77" t="s">
        <v>15</v>
      </c>
      <c r="E77" t="s">
        <v>11</v>
      </c>
      <c r="F77" t="s">
        <v>27</v>
      </c>
      <c r="G77" s="2">
        <v>15.5</v>
      </c>
    </row>
    <row r="78" spans="1:7" x14ac:dyDescent="0.35">
      <c r="A78" s="1">
        <v>46031</v>
      </c>
      <c r="B78" t="s">
        <v>18</v>
      </c>
      <c r="C78" t="s">
        <v>10</v>
      </c>
      <c r="D78" t="s">
        <v>15</v>
      </c>
      <c r="E78" t="s">
        <v>11</v>
      </c>
      <c r="F78" t="s">
        <v>19</v>
      </c>
      <c r="G78" s="2">
        <v>26.1</v>
      </c>
    </row>
    <row r="79" spans="1:7" x14ac:dyDescent="0.35">
      <c r="A79" s="1">
        <v>46031</v>
      </c>
      <c r="B79" t="s">
        <v>74</v>
      </c>
      <c r="C79" t="s">
        <v>8</v>
      </c>
      <c r="D79" t="s">
        <v>8</v>
      </c>
      <c r="E79" t="s">
        <v>8</v>
      </c>
      <c r="F79" t="s">
        <v>9</v>
      </c>
      <c r="G79" s="2">
        <v>6.73</v>
      </c>
    </row>
    <row r="80" spans="1:7" x14ac:dyDescent="0.35">
      <c r="A80" s="1">
        <v>46030</v>
      </c>
      <c r="B80" t="s">
        <v>75</v>
      </c>
      <c r="C80" t="s">
        <v>8</v>
      </c>
      <c r="D80" t="s">
        <v>8</v>
      </c>
      <c r="E80" t="s">
        <v>8</v>
      </c>
      <c r="F80" t="s">
        <v>9</v>
      </c>
      <c r="G80" s="2">
        <v>39.130000000000003</v>
      </c>
    </row>
    <row r="81" spans="1:7" x14ac:dyDescent="0.35">
      <c r="A81" s="1">
        <v>46030</v>
      </c>
      <c r="B81" t="s">
        <v>76</v>
      </c>
      <c r="C81" t="s">
        <v>10</v>
      </c>
      <c r="D81" t="s">
        <v>15</v>
      </c>
      <c r="E81" t="s">
        <v>16</v>
      </c>
      <c r="F81" t="s">
        <v>17</v>
      </c>
      <c r="G81" s="2">
        <v>14.24</v>
      </c>
    </row>
    <row r="82" spans="1:7" x14ac:dyDescent="0.35">
      <c r="A82" s="1">
        <v>46030</v>
      </c>
      <c r="B82" t="s">
        <v>26</v>
      </c>
      <c r="C82" t="s">
        <v>10</v>
      </c>
      <c r="D82" t="s">
        <v>15</v>
      </c>
      <c r="E82" t="s">
        <v>11</v>
      </c>
      <c r="F82" t="s">
        <v>27</v>
      </c>
      <c r="G82" s="2">
        <v>9.33</v>
      </c>
    </row>
    <row r="83" spans="1:7" x14ac:dyDescent="0.35">
      <c r="A83" s="1">
        <v>46030</v>
      </c>
      <c r="B83" t="s">
        <v>26</v>
      </c>
      <c r="C83" t="s">
        <v>10</v>
      </c>
      <c r="D83" t="s">
        <v>15</v>
      </c>
      <c r="E83" t="s">
        <v>11</v>
      </c>
      <c r="F83" t="s">
        <v>27</v>
      </c>
      <c r="G83" s="2">
        <v>55.76</v>
      </c>
    </row>
    <row r="84" spans="1:7" x14ac:dyDescent="0.35">
      <c r="A84" s="1">
        <v>46030</v>
      </c>
      <c r="B84" t="s">
        <v>77</v>
      </c>
      <c r="C84" t="s">
        <v>8</v>
      </c>
      <c r="D84" t="s">
        <v>8</v>
      </c>
      <c r="E84" t="s">
        <v>8</v>
      </c>
      <c r="F84" t="s">
        <v>9</v>
      </c>
      <c r="G84" s="2">
        <v>18.98</v>
      </c>
    </row>
    <row r="85" spans="1:7" x14ac:dyDescent="0.35">
      <c r="A85" s="1">
        <v>46029</v>
      </c>
      <c r="B85" t="s">
        <v>78</v>
      </c>
      <c r="C85" t="s">
        <v>10</v>
      </c>
      <c r="D85" t="s">
        <v>8</v>
      </c>
      <c r="E85" t="s">
        <v>11</v>
      </c>
      <c r="F85" t="s">
        <v>27</v>
      </c>
      <c r="G85" s="2">
        <v>31.95</v>
      </c>
    </row>
    <row r="86" spans="1:7" x14ac:dyDescent="0.35">
      <c r="A86" s="1">
        <v>46029</v>
      </c>
      <c r="B86" t="s">
        <v>79</v>
      </c>
      <c r="C86" t="s">
        <v>8</v>
      </c>
      <c r="D86" t="s">
        <v>8</v>
      </c>
      <c r="E86" t="s">
        <v>16</v>
      </c>
      <c r="F86" t="s">
        <v>17</v>
      </c>
      <c r="G86" s="2">
        <v>90</v>
      </c>
    </row>
    <row r="87" spans="1:7" x14ac:dyDescent="0.35">
      <c r="A87" s="1">
        <v>46029</v>
      </c>
      <c r="B87" t="s">
        <v>80</v>
      </c>
      <c r="C87" t="s">
        <v>10</v>
      </c>
      <c r="D87" t="s">
        <v>8</v>
      </c>
      <c r="E87" t="s">
        <v>11</v>
      </c>
      <c r="F87" t="s">
        <v>17</v>
      </c>
      <c r="G87" s="2">
        <v>70.86</v>
      </c>
    </row>
    <row r="88" spans="1:7" x14ac:dyDescent="0.35">
      <c r="A88" s="1">
        <v>46029</v>
      </c>
      <c r="B88" t="s">
        <v>81</v>
      </c>
      <c r="C88" t="s">
        <v>15</v>
      </c>
      <c r="D88" t="s">
        <v>15</v>
      </c>
      <c r="E88" t="s">
        <v>15</v>
      </c>
      <c r="F88" t="s">
        <v>9</v>
      </c>
      <c r="G88" s="2">
        <v>200</v>
      </c>
    </row>
    <row r="89" spans="1:7" x14ac:dyDescent="0.35">
      <c r="A89" s="1">
        <v>46027</v>
      </c>
      <c r="B89" t="s">
        <v>63</v>
      </c>
      <c r="C89" t="s">
        <v>10</v>
      </c>
      <c r="D89" t="s">
        <v>15</v>
      </c>
      <c r="E89" t="s">
        <v>11</v>
      </c>
      <c r="F89" t="s">
        <v>27</v>
      </c>
      <c r="G89" s="2">
        <v>20</v>
      </c>
    </row>
    <row r="90" spans="1:7" x14ac:dyDescent="0.35">
      <c r="A90" s="1">
        <v>46027</v>
      </c>
      <c r="B90" t="s">
        <v>82</v>
      </c>
      <c r="C90" t="s">
        <v>10</v>
      </c>
      <c r="D90" t="s">
        <v>15</v>
      </c>
      <c r="E90" t="s">
        <v>11</v>
      </c>
      <c r="F90" t="s">
        <v>30</v>
      </c>
      <c r="G90" s="2">
        <v>22.4</v>
      </c>
    </row>
    <row r="91" spans="1:7" x14ac:dyDescent="0.35">
      <c r="A91" s="1">
        <v>46027</v>
      </c>
      <c r="B91" t="s">
        <v>83</v>
      </c>
      <c r="C91" t="s">
        <v>10</v>
      </c>
      <c r="D91" t="s">
        <v>8</v>
      </c>
      <c r="E91" t="s">
        <v>11</v>
      </c>
      <c r="F91" t="s">
        <v>70</v>
      </c>
      <c r="G91" s="2">
        <v>113.2</v>
      </c>
    </row>
    <row r="92" spans="1:7" x14ac:dyDescent="0.35">
      <c r="A92" s="1">
        <v>46027</v>
      </c>
      <c r="B92" t="s">
        <v>38</v>
      </c>
      <c r="C92" t="s">
        <v>10</v>
      </c>
      <c r="D92" t="s">
        <v>15</v>
      </c>
      <c r="E92" t="s">
        <v>11</v>
      </c>
      <c r="F92" t="s">
        <v>21</v>
      </c>
      <c r="G92" s="2">
        <v>96</v>
      </c>
    </row>
    <row r="93" spans="1:7" x14ac:dyDescent="0.35">
      <c r="A93" s="1">
        <v>46027</v>
      </c>
      <c r="B93" t="s">
        <v>84</v>
      </c>
      <c r="C93" t="s">
        <v>10</v>
      </c>
      <c r="D93" t="s">
        <v>15</v>
      </c>
      <c r="E93" t="s">
        <v>11</v>
      </c>
      <c r="F93" t="s">
        <v>85</v>
      </c>
      <c r="G93" s="2">
        <v>190</v>
      </c>
    </row>
    <row r="94" spans="1:7" x14ac:dyDescent="0.35">
      <c r="A94" s="1">
        <v>46027</v>
      </c>
      <c r="B94" t="s">
        <v>26</v>
      </c>
      <c r="C94" t="s">
        <v>10</v>
      </c>
      <c r="D94" t="s">
        <v>15</v>
      </c>
      <c r="E94" t="s">
        <v>11</v>
      </c>
      <c r="F94" t="s">
        <v>27</v>
      </c>
      <c r="G94" s="2">
        <v>23.89</v>
      </c>
    </row>
    <row r="95" spans="1:7" x14ac:dyDescent="0.35">
      <c r="A95" s="1">
        <v>46027</v>
      </c>
      <c r="B95" t="s">
        <v>74</v>
      </c>
      <c r="C95" t="s">
        <v>8</v>
      </c>
      <c r="D95" t="s">
        <v>8</v>
      </c>
      <c r="E95" t="s">
        <v>8</v>
      </c>
      <c r="F95" t="s">
        <v>9</v>
      </c>
      <c r="G95" s="2">
        <v>7</v>
      </c>
    </row>
    <row r="96" spans="1:7" x14ac:dyDescent="0.35">
      <c r="A96" s="1">
        <v>46027</v>
      </c>
      <c r="B96" t="s">
        <v>26</v>
      </c>
      <c r="C96" t="s">
        <v>40</v>
      </c>
      <c r="D96" t="s">
        <v>8</v>
      </c>
      <c r="E96" t="s">
        <v>11</v>
      </c>
      <c r="F96" t="s">
        <v>27</v>
      </c>
      <c r="G96" s="2">
        <v>30</v>
      </c>
    </row>
    <row r="97" spans="1:7" x14ac:dyDescent="0.35">
      <c r="A97" s="1">
        <v>46027</v>
      </c>
      <c r="B97" t="s">
        <v>86</v>
      </c>
      <c r="C97" t="s">
        <v>10</v>
      </c>
      <c r="D97" t="s">
        <v>15</v>
      </c>
      <c r="E97" t="s">
        <v>11</v>
      </c>
      <c r="F97" t="s">
        <v>30</v>
      </c>
      <c r="G97" s="2">
        <v>14.87</v>
      </c>
    </row>
    <row r="98" spans="1:7" x14ac:dyDescent="0.35">
      <c r="A98" s="1">
        <v>46027</v>
      </c>
      <c r="B98" t="s">
        <v>87</v>
      </c>
      <c r="C98" t="s">
        <v>15</v>
      </c>
      <c r="D98" t="s">
        <v>15</v>
      </c>
      <c r="E98" t="s">
        <v>15</v>
      </c>
      <c r="F98" t="s">
        <v>9</v>
      </c>
      <c r="G98" s="2">
        <v>26</v>
      </c>
    </row>
    <row r="99" spans="1:7" x14ac:dyDescent="0.35">
      <c r="A99" s="1">
        <v>46025</v>
      </c>
      <c r="B99" t="s">
        <v>88</v>
      </c>
      <c r="C99" t="s">
        <v>10</v>
      </c>
      <c r="D99" t="s">
        <v>15</v>
      </c>
      <c r="E99" t="s">
        <v>11</v>
      </c>
      <c r="F99" t="s">
        <v>21</v>
      </c>
      <c r="G99" s="2">
        <v>27.17</v>
      </c>
    </row>
    <row r="100" spans="1:7" x14ac:dyDescent="0.35">
      <c r="A100" s="1">
        <v>46025</v>
      </c>
      <c r="B100" t="s">
        <v>41</v>
      </c>
      <c r="C100" t="s">
        <v>10</v>
      </c>
      <c r="D100" t="s">
        <v>42</v>
      </c>
      <c r="E100" t="s">
        <v>11</v>
      </c>
      <c r="F100" t="s">
        <v>27</v>
      </c>
      <c r="G100" s="2">
        <v>98.26</v>
      </c>
    </row>
    <row r="101" spans="1:7" x14ac:dyDescent="0.35">
      <c r="A101" s="1">
        <v>46025</v>
      </c>
      <c r="B101" t="s">
        <v>33</v>
      </c>
      <c r="C101" t="s">
        <v>10</v>
      </c>
      <c r="D101" t="s">
        <v>15</v>
      </c>
      <c r="E101" t="s">
        <v>11</v>
      </c>
      <c r="F101" t="s">
        <v>34</v>
      </c>
      <c r="G101" s="2">
        <v>6.99</v>
      </c>
    </row>
    <row r="102" spans="1:7" x14ac:dyDescent="0.35">
      <c r="A102" s="1">
        <v>46025</v>
      </c>
      <c r="B102" t="s">
        <v>89</v>
      </c>
      <c r="C102" t="s">
        <v>10</v>
      </c>
      <c r="D102" t="s">
        <v>15</v>
      </c>
      <c r="E102" t="s">
        <v>11</v>
      </c>
      <c r="F102" t="s">
        <v>21</v>
      </c>
      <c r="G102" s="2">
        <v>75</v>
      </c>
    </row>
    <row r="103" spans="1:7" x14ac:dyDescent="0.35">
      <c r="A103" s="1">
        <v>46025</v>
      </c>
      <c r="B103" t="s">
        <v>26</v>
      </c>
      <c r="C103" t="s">
        <v>40</v>
      </c>
      <c r="D103" t="s">
        <v>15</v>
      </c>
      <c r="E103" t="s">
        <v>11</v>
      </c>
      <c r="F103" t="s">
        <v>27</v>
      </c>
      <c r="G103" s="2">
        <v>30</v>
      </c>
    </row>
    <row r="104" spans="1:7" x14ac:dyDescent="0.35">
      <c r="A104" s="1">
        <v>46025</v>
      </c>
      <c r="B104" t="s">
        <v>90</v>
      </c>
      <c r="C104" t="s">
        <v>10</v>
      </c>
      <c r="D104" t="s">
        <v>15</v>
      </c>
      <c r="E104" t="s">
        <v>11</v>
      </c>
      <c r="F104" t="s">
        <v>21</v>
      </c>
      <c r="G104" s="2">
        <v>37.4</v>
      </c>
    </row>
    <row r="105" spans="1:7" x14ac:dyDescent="0.35">
      <c r="A105" s="1">
        <v>46025</v>
      </c>
      <c r="B105" t="s">
        <v>91</v>
      </c>
      <c r="C105" t="s">
        <v>10</v>
      </c>
      <c r="D105" t="s">
        <v>15</v>
      </c>
      <c r="E105" t="s">
        <v>11</v>
      </c>
      <c r="F105" t="s">
        <v>30</v>
      </c>
      <c r="G105" s="2">
        <v>81</v>
      </c>
    </row>
    <row r="106" spans="1:7" x14ac:dyDescent="0.35">
      <c r="A106" s="1">
        <v>46024</v>
      </c>
      <c r="B106" t="s">
        <v>92</v>
      </c>
      <c r="C106" t="s">
        <v>15</v>
      </c>
      <c r="D106" t="s">
        <v>15</v>
      </c>
      <c r="E106" t="s">
        <v>15</v>
      </c>
      <c r="F106" t="s">
        <v>53</v>
      </c>
      <c r="G106" s="2">
        <v>1119.8</v>
      </c>
    </row>
    <row r="107" spans="1:7" x14ac:dyDescent="0.35">
      <c r="A107" s="1">
        <v>46024</v>
      </c>
      <c r="B107" t="s">
        <v>93</v>
      </c>
      <c r="C107" t="s">
        <v>8</v>
      </c>
      <c r="D107" t="s">
        <v>8</v>
      </c>
      <c r="E107" t="s">
        <v>11</v>
      </c>
      <c r="F107" t="s">
        <v>94</v>
      </c>
      <c r="G107" s="2">
        <v>600</v>
      </c>
    </row>
    <row r="108" spans="1:7" x14ac:dyDescent="0.35">
      <c r="A108" s="1">
        <v>46024</v>
      </c>
      <c r="B108" t="s">
        <v>26</v>
      </c>
      <c r="C108" t="s">
        <v>10</v>
      </c>
      <c r="D108" t="s">
        <v>8</v>
      </c>
      <c r="E108" t="s">
        <v>11</v>
      </c>
      <c r="F108" t="s">
        <v>27</v>
      </c>
      <c r="G108" s="2">
        <v>9.61</v>
      </c>
    </row>
    <row r="109" spans="1:7" x14ac:dyDescent="0.35">
      <c r="A109" s="1">
        <v>46024</v>
      </c>
      <c r="B109" t="s">
        <v>39</v>
      </c>
      <c r="C109" t="s">
        <v>10</v>
      </c>
      <c r="D109" t="s">
        <v>8</v>
      </c>
      <c r="E109" t="s">
        <v>11</v>
      </c>
      <c r="F109" t="s">
        <v>30</v>
      </c>
      <c r="G109" s="2">
        <v>25</v>
      </c>
    </row>
    <row r="110" spans="1:7" x14ac:dyDescent="0.35">
      <c r="A110" s="1">
        <v>46024</v>
      </c>
      <c r="B110" t="s">
        <v>35</v>
      </c>
      <c r="C110" t="s">
        <v>10</v>
      </c>
      <c r="D110" t="s">
        <v>8</v>
      </c>
      <c r="E110" t="s">
        <v>11</v>
      </c>
      <c r="F110" t="s">
        <v>21</v>
      </c>
      <c r="G110" s="2">
        <v>42.6</v>
      </c>
    </row>
    <row r="111" spans="1:7" x14ac:dyDescent="0.35">
      <c r="A111" s="1">
        <v>46024</v>
      </c>
      <c r="B111" t="s">
        <v>26</v>
      </c>
      <c r="C111" t="s">
        <v>40</v>
      </c>
      <c r="D111" t="s">
        <v>15</v>
      </c>
      <c r="E111" t="s">
        <v>11</v>
      </c>
      <c r="F111" t="s">
        <v>27</v>
      </c>
      <c r="G111" s="2">
        <v>45</v>
      </c>
    </row>
    <row r="112" spans="1:7" x14ac:dyDescent="0.35">
      <c r="A112" s="1">
        <v>46024</v>
      </c>
      <c r="B112" t="s">
        <v>95</v>
      </c>
      <c r="C112" t="s">
        <v>15</v>
      </c>
      <c r="D112" t="s">
        <v>15</v>
      </c>
      <c r="E112" t="s">
        <v>15</v>
      </c>
      <c r="F112" t="s">
        <v>19</v>
      </c>
      <c r="G112" s="2">
        <v>69.63</v>
      </c>
    </row>
    <row r="113" spans="1:7" x14ac:dyDescent="0.35">
      <c r="A113" s="1">
        <v>46024</v>
      </c>
      <c r="B113" t="s">
        <v>96</v>
      </c>
      <c r="C113" t="s">
        <v>40</v>
      </c>
      <c r="D113" t="s">
        <v>15</v>
      </c>
      <c r="E113" t="s">
        <v>11</v>
      </c>
      <c r="G113" s="2">
        <v>220</v>
      </c>
    </row>
    <row r="114" spans="1:7" x14ac:dyDescent="0.35">
      <c r="A114" s="1">
        <v>46024</v>
      </c>
      <c r="B114" t="s">
        <v>93</v>
      </c>
      <c r="C114" t="s">
        <v>10</v>
      </c>
      <c r="D114" t="s">
        <v>15</v>
      </c>
      <c r="F114" t="s">
        <v>12</v>
      </c>
      <c r="G114" s="2">
        <v>600</v>
      </c>
    </row>
    <row r="115" spans="1:7" x14ac:dyDescent="0.35">
      <c r="A115" s="1">
        <v>46024</v>
      </c>
      <c r="B115" t="s">
        <v>63</v>
      </c>
      <c r="C115" t="s">
        <v>8</v>
      </c>
      <c r="D115" t="s">
        <v>8</v>
      </c>
      <c r="E115" t="s">
        <v>11</v>
      </c>
      <c r="F115" t="s">
        <v>27</v>
      </c>
      <c r="G115" s="2">
        <v>19.95</v>
      </c>
    </row>
    <row r="116" spans="1:7" x14ac:dyDescent="0.35">
      <c r="A116" s="1">
        <v>46024</v>
      </c>
      <c r="B116" t="s">
        <v>63</v>
      </c>
      <c r="C116" t="s">
        <v>8</v>
      </c>
      <c r="D116" t="s">
        <v>8</v>
      </c>
      <c r="E116" t="s">
        <v>11</v>
      </c>
      <c r="F116" t="s">
        <v>27</v>
      </c>
      <c r="G116" s="2">
        <v>6.5</v>
      </c>
    </row>
    <row r="117" spans="1:7" x14ac:dyDescent="0.35">
      <c r="A117" s="1">
        <v>46024</v>
      </c>
      <c r="B117" t="s">
        <v>97</v>
      </c>
      <c r="C117" t="s">
        <v>8</v>
      </c>
      <c r="D117" t="s">
        <v>8</v>
      </c>
      <c r="E117" t="s">
        <v>8</v>
      </c>
      <c r="F117" t="s">
        <v>70</v>
      </c>
      <c r="G117" s="2">
        <v>9.9</v>
      </c>
    </row>
    <row r="118" spans="1:7" x14ac:dyDescent="0.35">
      <c r="A118" s="1">
        <v>46024</v>
      </c>
      <c r="B118" t="s">
        <v>98</v>
      </c>
      <c r="C118" t="s">
        <v>8</v>
      </c>
      <c r="D118" t="s">
        <v>8</v>
      </c>
      <c r="E118" t="s">
        <v>8</v>
      </c>
      <c r="F118" t="s">
        <v>9</v>
      </c>
      <c r="G118" s="2">
        <v>40</v>
      </c>
    </row>
    <row r="119" spans="1:7" x14ac:dyDescent="0.35">
      <c r="A119" s="1">
        <v>46024</v>
      </c>
      <c r="B119" t="s">
        <v>93</v>
      </c>
      <c r="C119" t="s">
        <v>15</v>
      </c>
      <c r="D119" t="s">
        <v>15</v>
      </c>
      <c r="E119" t="s">
        <v>11</v>
      </c>
      <c r="F119" t="s">
        <v>94</v>
      </c>
      <c r="G119" s="2">
        <v>600</v>
      </c>
    </row>
    <row r="120" spans="1:7" x14ac:dyDescent="0.35">
      <c r="A120" s="1">
        <v>46024</v>
      </c>
      <c r="B120" t="s">
        <v>99</v>
      </c>
      <c r="C120" t="s">
        <v>8</v>
      </c>
      <c r="D120" t="s">
        <v>8</v>
      </c>
      <c r="E120" t="s">
        <v>8</v>
      </c>
      <c r="F120" t="s">
        <v>19</v>
      </c>
      <c r="G120" s="2">
        <v>272.83</v>
      </c>
    </row>
    <row r="121" spans="1:7" x14ac:dyDescent="0.35">
      <c r="A121" s="1">
        <v>46024</v>
      </c>
      <c r="B121" t="s">
        <v>93</v>
      </c>
      <c r="C121" t="s">
        <v>10</v>
      </c>
      <c r="D121" t="s">
        <v>8</v>
      </c>
      <c r="F121" t="s">
        <v>12</v>
      </c>
      <c r="G121" s="2">
        <v>600</v>
      </c>
    </row>
    <row r="122" spans="1:7" x14ac:dyDescent="0.35">
      <c r="A122" s="1"/>
    </row>
  </sheetData>
  <autoFilter ref="A1:G122" xr:uid="{74AF0079-9F4A-4A13-909B-287924B420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D'Elia</dc:creator>
  <cp:lastModifiedBy>Fabio D'Elia</cp:lastModifiedBy>
  <dcterms:created xsi:type="dcterms:W3CDTF">2026-01-31T16:20:47Z</dcterms:created>
  <dcterms:modified xsi:type="dcterms:W3CDTF">2026-02-01T06:52:36Z</dcterms:modified>
</cp:coreProperties>
</file>